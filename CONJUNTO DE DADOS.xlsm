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workbookPr hidePivotFieldList="1" defaultThemeVersion="166925"/>
  <mc:AlternateContent xmlns:mc="http://schemas.openxmlformats.org/markup-compatibility/2006">
    <mc:Choice Requires="x15">
      <x15ac:absPath xmlns:x15ac="http://schemas.microsoft.com/office/spreadsheetml/2010/11/ac" url="C:\Users\Noite\Downloads\"/>
    </mc:Choice>
  </mc:AlternateContent>
  <xr:revisionPtr revIDLastSave="0" documentId="13_ncr:1_{91FE9C1C-E135-439E-BCA2-9B7D9FADA20E}" xr6:coauthVersionLast="36" xr6:coauthVersionMax="36" xr10:uidLastSave="{00000000-0000-0000-0000-000000000000}"/>
  <bookViews>
    <workbookView xWindow="0" yWindow="0" windowWidth="28800" windowHeight="12105" activeTab="2" xr2:uid="{00000000-000D-0000-FFFF-FFFF00000000}"/>
  </bookViews>
  <sheets>
    <sheet name="DINAMICA" sheetId="2" r:id="rId1"/>
    <sheet name="FORMULARIO" sheetId="3" r:id="rId2"/>
    <sheet name="conjunto-dados" sheetId="1" r:id="rId3"/>
  </sheets>
  <calcPr calcId="191029"/>
  <pivotCaches>
    <pivotCache cacheId="0" r:id="rId4"/>
  </pivotCaches>
</workbook>
</file>

<file path=xl/calcChain.xml><?xml version="1.0" encoding="utf-8"?>
<calcChain xmlns="http://schemas.openxmlformats.org/spreadsheetml/2006/main">
  <c r="D12" i="3" l="1"/>
  <c r="C12" i="3"/>
  <c r="B12" i="3"/>
  <c r="A12" i="3"/>
  <c r="F12" i="3"/>
  <c r="E12" i="3"/>
</calcChain>
</file>

<file path=xl/sharedStrings.xml><?xml version="1.0" encoding="utf-8"?>
<sst xmlns="http://schemas.openxmlformats.org/spreadsheetml/2006/main" count="64" uniqueCount="43">
  <si>
    <t>Nome</t>
  </si>
  <si>
    <t>Descrição</t>
  </si>
  <si>
    <t>Quantidade Recursos</t>
  </si>
  <si>
    <t>Quantidade Reusos</t>
  </si>
  <si>
    <t>Quantidade Downloads</t>
  </si>
  <si>
    <t>Quantidade Seguidores</t>
  </si>
  <si>
    <t>Abono de Permanência</t>
  </si>
  <si>
    <t>O abono de permanência foi instituído pela Emenda Constitucional nº 41/03, e é um benefício pecuniário concedido ao servidor que tendo alcançado todos os requisitos para se aposentar voluntariamente, opte por permanecer em atividade até, no máximo, a idade para se aposentar compulsoriamente, sendo seu valor correspondente ao valor da contribuição previdenciária do servidor.</t>
  </si>
  <si>
    <t>Domínios Gov.br</t>
  </si>
  <si>
    <t>Informações sobre os domínios da categoria "gov.br" registrados no Registro.br obtidas mensalmente pela Secretaria de Governo Digital (SGD) do Ministério da Economia.</t>
  </si>
  <si>
    <t>Gestão de Pessoas (Executivo Federal) - Pensionistas</t>
  </si>
  <si>
    <t>As informações disponibilizadas referem-se ao pagamento (rendimento bruto) recebido por pensionistas de servidores instituidores de pensão, constantes no Sistema Integrado de Administração de Pessoal (Siape).Cabe ressaltar que o Ministério da Economia é responsável pelas informações dos servidores instituidores de pensão e pensionistas do Poder Executivo Federal, não incluindo dados dos poderes Judiciário e Legislativo. Também não constam nos arquivos, dados relativos aos servidores do Banco Central do Brasil (1), Ministério da Defesa (2) (com exceção de militares de ex-territórios ou que assumiram cargos civis no Poder Executivo Federal) e Governo do Distrito Federal (3) (Fundo Constitucional), responsáveis pela publicação dos seus dados em portais próprios. Em relação à Agência Brasileira de Inteligência (Abin), os dados funcionais de pessoal são protegidos pela legislação vigente Lei nº 9883 (4) e Portaria Conjunta n° 5, de 05/08/2015/MPOG (5).</t>
  </si>
  <si>
    <t>Gestão de Pessoas (Executivo Federal) - Abono Permanência</t>
  </si>
  <si>
    <t>Contempla os dados cadastrais de servidores públicos federais que recebem abono permanência, como nome, CPF, cargo, órgão. O abono de permanência é um benefício pecuniário concedido ao servidor que opte por permanecer em atividade após ter cumprido todos os requisitos para aposentadoria voluntária, no valor equivalente à sua contribuição previdenciária, até completar as exigências para a aposentadoria compulsória.</t>
  </si>
  <si>
    <t>Gestão de Pessoas (Executivo Federal) - Afastamentos e Licenças</t>
  </si>
  <si>
    <t>Contempla os dados cadastrais individualizados de servidores/empregados públicos do Poder Executivo Federal, como nome, CPF, cargo, órgão e ocorrência de afastamento/licença. Os servidores públicos civis da União, das autarquias e das fundações públicas federais dispõem de um rol de afastamentos, licenças e ausências previstos, em regra, na Lei nº 8.112 de 11 de dezembro de 1990, e relacionados a fatos geradores e requisitos próprios. Licenças e afastamentos dos empregados públicos são regidos por legislação própria.</t>
  </si>
  <si>
    <t>Gestão de Pessoas (Executivo Federal) – Aposentados</t>
  </si>
  <si>
    <t>O conjunto contempla dados cadastrais de aposentados sob o regime jurídico único do Poder Executivo Federal Civil, como nome, portaria e tipo de aposentadoria. O aposentado do serviço público é o beneficiário de aposentadoria na forma do artigo 40 da Constituição Federal, do Quadro de Pessoal da Administração Pública Federal Direta - APF, suas autarquias e fundações públicas, seja pela via administrativa ou judicial, ou em decorrência de decisão do Tribunal de Contas da União. Os dados relativos aos aposentados da APF estão distribuídos em arquivos disponibilizados mensalmente e inclui as concessões do benefício de aposentadoria do mês anterior ao da publicação. A primeira divulgação no Portal Brasileiro de Dados Abertos nesse formato foi em 2018 e contempla as informações de novembro de 2016 em diante.</t>
  </si>
  <si>
    <t>Gestão de Pessoas (Executivo Federal) - Cargos de Direção e Assessoramento Superiores (DAS)</t>
  </si>
  <si>
    <t>O conjunto de dados contempla os ocupantes de Cargos de Direção e Assessoramento Superiores (DAS) do Poder Executivo Federal civil, militares dos Ex-Territórios Federais e militares do Governo do Distrito Federal. Os dados apresentados abrangem, dentre outros, informações cadastrais, como nome, órgão, remuneração. Cargo em Comissão: Cargo público de livre nomeação e exoneração, destinado às atribuições de direção, chefia e assessoramento, que pode ser ocupado tanto por pessoa sem vínculo com a Administração Pública Federal, quanto por servidor efetivo e/ou empregado público.</t>
  </si>
  <si>
    <t>Gestão de Pessoas (Executivo Federal) - Carreiras / Cargos</t>
  </si>
  <si>
    <t>O conjunto contempla dados das Carreiras/cargos/empregos públicos ocupados por servidores e empregados públicos ativos do Poder Executivo Federal civil, militares dos Ex-Territórios Federais e militares do Governo do Distrito Federal. Os dados apresentados abrange, dentre outros, nome, órgão, remuneração.</t>
  </si>
  <si>
    <t>Gestão de Pessoas (Executivo Federal) – Remuneração Compensatória - “Quarentena”</t>
  </si>
  <si>
    <t>O conjunto contempla dados cadastrais de Ex-dirigentes do Poder Executivo Federal, como nome, Órgão de atuação e remuneração. A remuneração compensatória é a parcela devida em virtude de uma restrição imposta por lei ao ocupante de determinados cargos da Administração Pública Federal, visando resguardar a administração de potenciais danos em casos de existência de conflitos de interesses, devidamente reconhecido pela Comissão de Ética Pública – CEP, ocasionando o impedimento ao referido ocupante de exercer determinadas atividades no período determinado “quarentena”, tal retribuição tem como objetivo não apenas proteger o ex-ocupante do referido cargo, já que se encontra impedido de trabalhar, mas também a própria Administração.</t>
  </si>
  <si>
    <t>Gestão de Pessoas (Executivo Federal) - Auxílio-Alimentação</t>
  </si>
  <si>
    <t>Contempla dados cadastrais e financeiros dos servidores públicos ativos do Poder Executivo Federal Civil que recebem Auxílio Alimentação. Arquivo em formato CSV.</t>
  </si>
  <si>
    <t>Gestão de Pessoas (Executivo Federal) - Auxílio-Reclusão</t>
  </si>
  <si>
    <t>Contempla dados cadastrais e financeiros referentes ao pagamento do Auxílio Reclusão aos servidores públicos ativos do Poder Executivo Federal Civil. Cada linha corresponde a um servidor que recebe Auxílio Reclusão. Arquivo em formato CSV. O conjunto de dados não contempla os servidores do Banco Central do Brasil. O Auxílio Reclusão é um benefício concedido à família do servidor ativo em função de seu afastamento por motivo de prisão em flagrante ou preventiva, determinada pela autoridade competente, ou em virtude de condenação, por sentença definitiva, a pena que não imponha a perda do cargo público.</t>
  </si>
  <si>
    <t>Gestão de Pessoas (Executivo Federal) - Cargos Vagos e Vacâncias</t>
  </si>
  <si>
    <t>O conjunto contempla os cargos públicos no Poder Executivo Federal Civil e fornece a quantidade aprovada, distribuída, ocupada e vaga. A informação inclui Administração Direta, Autarquias e Fundações, excluindo-se dados sobre cargos do Banco Central do Brasil e das Carreiras de Inteligência da ABIN. A partir de 08/2021 esse conjunto de dados passará a apresentar informações acerca das vacâncias previstas no art. 33 da Lei 8.112/90 e também identificará se o cargo encontra-se em extinção. Arquivo em formato ODS a partir de 08/2021. Cargo público vago é aquele que não está provido, ou seja, está sem titular. O termo vacância é utilizado para descrever os motivos pelo qual um cargo se torna vago.</t>
  </si>
  <si>
    <t>Gestão de Pessoas (Executivo Federal) - Gratificações</t>
  </si>
  <si>
    <t>Contempla os dados cadastrais dos servidores públicos efetivos ativos do Poder Executivo Federal Civil que recebem Gratificação Temporária de Atividade em Escola de Governo – GAEG, Gratificação de Incremento à Atividade de Administração do Patrimônio da União – GIAPU, Gratificação Temporária do Sistema de Administração dos Recursos de Tecnologia da Informação – GSISP ou Gratificação Temporária das Unidades dos Sistemas Estruturadores da Administração Pública Federal - GSISTE. Arquivo em formato CSV. O presente conjunto de dados substitui, a partir de 08/2021, o conjunto de dados Gestão de Pessoas (Executivo Federal) - Gratificação Temporária das Unidades dos Sistemas Estruturadores da Administração Pública Federal (GSISTE). Para obter informações acerca das gratificações GSISTE e GIAPU em períodos anteriores a 08/2021, acesse https://dados.gov.br/dataset/gastos-pessoal-gsiste.</t>
  </si>
  <si>
    <t>Gestão de Pessoas (Executivo Federal) - Anistiados</t>
  </si>
  <si>
    <t>Conjunto de dados referente aos anistiados políticos, conforme a Lei nº10.559 de 13 de Novembro de 2002.</t>
  </si>
  <si>
    <t>Gestão de Pessoas (Executivo Federal) - Dados da Estrutura Organizacional do Poder Executivo Federal (SIAPE)</t>
  </si>
  <si>
    <t>O conjunto de dados contempla a árvore hierárquica de todas as Unidades Organizacionais da Administração Pública Federal. Arquivo em formato CSV.</t>
  </si>
  <si>
    <t>Rótulos de Linha</t>
  </si>
  <si>
    <t>(vazio)</t>
  </si>
  <si>
    <t>Total Geral</t>
  </si>
  <si>
    <t>Soma de Quantidade Recursos</t>
  </si>
  <si>
    <t>Soma de Quantidade Reusos</t>
  </si>
  <si>
    <t>Soma de Quantidade Downloads</t>
  </si>
  <si>
    <t>Soma de Quantidade Seguidores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</si>
</sst>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10">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[conjunto-dados.xlsm]DINAMICA!Tabela dinâmica1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7.7183749467214027E-2"/>
          <c:y val="8.0627446127190874E-2"/>
          <c:w val="0.71191589833322111"/>
          <c:h val="0.43580382511125204"/>
        </c:manualLayout>
      </c:layout>
      <c:barChart>
        <c:barDir val="col"/>
        <c:grouping val="clustered"/>
        <c:varyColors val="0"/>
        <c:ser>
          <c:idx val="0"/>
          <c:order val="0"/>
          <c:tx>
            <c:strRef>
              <c:f>DINAMICA!$B$1</c:f>
              <c:strCache>
                <c:ptCount val="1"/>
                <c:pt idx="0">
                  <c:v>Soma de Quantidade Recursos</c:v>
                </c:pt>
              </c:strCache>
            </c:strRef>
          </c:tx>
          <c:spPr>
            <a:solidFill>
              <a:schemeClr val="accent1"/>
            </a:solidFill>
            <a:ln>
              <a:noFill/>
            </a:ln>
            <a:effectLst/>
          </c:spPr>
          <c:invertIfNegative val="0"/>
          <c:cat>
            <c:strRef>
              <c:f>DINAMICA!$A$2:$A$18</c:f>
              <c:strCache>
                <c:ptCount val="16"/>
                <c:pt idx="0">
                  <c:v>Abono de Permanência</c:v>
                </c:pt>
                <c:pt idx="1">
                  <c:v>Domínios Gov.br</c:v>
                </c:pt>
                <c:pt idx="2">
                  <c:v>Gestão de Pessoas (Executivo Federal) - Abono Permanência</c:v>
                </c:pt>
                <c:pt idx="3">
                  <c:v>Gestão de Pessoas (Executivo Federal) - Afastamentos e Licenças</c:v>
                </c:pt>
                <c:pt idx="4">
                  <c:v>Gestão de Pessoas (Executivo Federal) - Anistiados</c:v>
                </c:pt>
                <c:pt idx="5">
                  <c:v>Gestão de Pessoas (Executivo Federal) – Aposentados</c:v>
                </c:pt>
                <c:pt idx="6">
                  <c:v>Gestão de Pessoas (Executivo Federal) - Auxílio-Alimentação</c:v>
                </c:pt>
                <c:pt idx="7">
                  <c:v>Gestão de Pessoas (Executivo Federal) - Auxílio-Reclusão</c:v>
                </c:pt>
                <c:pt idx="8">
                  <c:v>Gestão de Pessoas (Executivo Federal) - Cargos de Direção e Assessoramento Superiores (DAS)</c:v>
                </c:pt>
                <c:pt idx="9">
                  <c:v>Gestão de Pessoas (Executivo Federal) - Cargos Vagos e Vacâncias</c:v>
                </c:pt>
                <c:pt idx="10">
                  <c:v>Gestão de Pessoas (Executivo Federal) - Carreiras / Cargos</c:v>
                </c:pt>
                <c:pt idx="11">
                  <c:v>Gestão de Pessoas (Executivo Federal) - Dados da Estrutura Organizacional do Poder Executivo Federal (SIAPE)</c:v>
                </c:pt>
                <c:pt idx="12">
                  <c:v>Gestão de Pessoas (Executivo Federal) - Gratificações</c:v>
                </c:pt>
                <c:pt idx="13">
                  <c:v>Gestão de Pessoas (Executivo Federal) - Pensionistas</c:v>
                </c:pt>
                <c:pt idx="14">
                  <c:v>Gestão de Pessoas (Executivo Federal) – Remuneração Compensatória - “Quarentena”</c:v>
                </c:pt>
                <c:pt idx="15">
                  <c:v>(vazio)</c:v>
                </c:pt>
              </c:strCache>
            </c:strRef>
          </c:cat>
          <c:val>
            <c:numRef>
              <c:f>DINAMICA!$B$2:$B$18</c:f>
              <c:numCache>
                <c:formatCode>General</c:formatCode>
                <c:ptCount val="16"/>
                <c:pt idx="0">
                  <c:v>1</c:v>
                </c:pt>
                <c:pt idx="1">
                  <c:v>2</c:v>
                </c:pt>
                <c:pt idx="2">
                  <c:v>80</c:v>
                </c:pt>
                <c:pt idx="3">
                  <c:v>70</c:v>
                </c:pt>
                <c:pt idx="4">
                  <c:v>2</c:v>
                </c:pt>
                <c:pt idx="5">
                  <c:v>96</c:v>
                </c:pt>
                <c:pt idx="6">
                  <c:v>10</c:v>
                </c:pt>
                <c:pt idx="7">
                  <c:v>11</c:v>
                </c:pt>
                <c:pt idx="8">
                  <c:v>81</c:v>
                </c:pt>
                <c:pt idx="9">
                  <c:v>93</c:v>
                </c:pt>
                <c:pt idx="10">
                  <c:v>81</c:v>
                </c:pt>
                <c:pt idx="11">
                  <c:v>2</c:v>
                </c:pt>
                <c:pt idx="12">
                  <c:v>25</c:v>
                </c:pt>
                <c:pt idx="13">
                  <c:v>69</c:v>
                </c:pt>
                <c:pt idx="14">
                  <c:v>79</c:v>
                </c:pt>
              </c:numCache>
            </c:numRef>
          </c:val>
          <c:extLst>
            <c:ext xmlns:c16="http://schemas.microsoft.com/office/drawing/2014/chart" uri="{C3380CC4-5D6E-409C-BE32-E72D297353CC}">
              <c16:uniqueId val="{00000000-C944-4768-BB58-841554A5A455}"/>
            </c:ext>
          </c:extLst>
        </c:ser>
        <c:ser>
          <c:idx val="1"/>
          <c:order val="1"/>
          <c:tx>
            <c:strRef>
              <c:f>DINAMICA!$C$1</c:f>
              <c:strCache>
                <c:ptCount val="1"/>
                <c:pt idx="0">
                  <c:v>Soma de Quantidade Reusos</c:v>
                </c:pt>
              </c:strCache>
            </c:strRef>
          </c:tx>
          <c:spPr>
            <a:solidFill>
              <a:schemeClr val="accent2"/>
            </a:solidFill>
            <a:ln>
              <a:noFill/>
            </a:ln>
            <a:effectLst/>
          </c:spPr>
          <c:invertIfNegative val="0"/>
          <c:cat>
            <c:strRef>
              <c:f>DINAMICA!$A$2:$A$18</c:f>
              <c:strCache>
                <c:ptCount val="16"/>
                <c:pt idx="0">
                  <c:v>Abono de Permanência</c:v>
                </c:pt>
                <c:pt idx="1">
                  <c:v>Domínios Gov.br</c:v>
                </c:pt>
                <c:pt idx="2">
                  <c:v>Gestão de Pessoas (Executivo Federal) - Abono Permanência</c:v>
                </c:pt>
                <c:pt idx="3">
                  <c:v>Gestão de Pessoas (Executivo Federal) - Afastamentos e Licenças</c:v>
                </c:pt>
                <c:pt idx="4">
                  <c:v>Gestão de Pessoas (Executivo Federal) - Anistiados</c:v>
                </c:pt>
                <c:pt idx="5">
                  <c:v>Gestão de Pessoas (Executivo Federal) – Aposentados</c:v>
                </c:pt>
                <c:pt idx="6">
                  <c:v>Gestão de Pessoas (Executivo Federal) - Auxílio-Alimentação</c:v>
                </c:pt>
                <c:pt idx="7">
                  <c:v>Gestão de Pessoas (Executivo Federal) - Auxílio-Reclusão</c:v>
                </c:pt>
                <c:pt idx="8">
                  <c:v>Gestão de Pessoas (Executivo Federal) - Cargos de Direção e Assessoramento Superiores (DAS)</c:v>
                </c:pt>
                <c:pt idx="9">
                  <c:v>Gestão de Pessoas (Executivo Federal) - Cargos Vagos e Vacâncias</c:v>
                </c:pt>
                <c:pt idx="10">
                  <c:v>Gestão de Pessoas (Executivo Federal) - Carreiras / Cargos</c:v>
                </c:pt>
                <c:pt idx="11">
                  <c:v>Gestão de Pessoas (Executivo Federal) - Dados da Estrutura Organizacional do Poder Executivo Federal (SIAPE)</c:v>
                </c:pt>
                <c:pt idx="12">
                  <c:v>Gestão de Pessoas (Executivo Federal) - Gratificações</c:v>
                </c:pt>
                <c:pt idx="13">
                  <c:v>Gestão de Pessoas (Executivo Federal) - Pensionistas</c:v>
                </c:pt>
                <c:pt idx="14">
                  <c:v>Gestão de Pessoas (Executivo Federal) – Remuneração Compensatória - “Quarentena”</c:v>
                </c:pt>
                <c:pt idx="15">
                  <c:v>(vazio)</c:v>
                </c:pt>
              </c:strCache>
            </c:strRef>
          </c:cat>
          <c:val>
            <c:numRef>
              <c:f>DINAMICA!$C$2:$C$18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C944-4768-BB58-841554A5A455}"/>
            </c:ext>
          </c:extLst>
        </c:ser>
        <c:ser>
          <c:idx val="2"/>
          <c:order val="2"/>
          <c:tx>
            <c:strRef>
              <c:f>DINAMICA!$D$1</c:f>
              <c:strCache>
                <c:ptCount val="1"/>
                <c:pt idx="0">
                  <c:v>Soma de Quantidade Downloads</c:v>
                </c:pt>
              </c:strCache>
            </c:strRef>
          </c:tx>
          <c:spPr>
            <a:solidFill>
              <a:schemeClr val="accent3"/>
            </a:solidFill>
            <a:ln>
              <a:noFill/>
            </a:ln>
            <a:effectLst/>
          </c:spPr>
          <c:invertIfNegative val="0"/>
          <c:cat>
            <c:strRef>
              <c:f>DINAMICA!$A$2:$A$18</c:f>
              <c:strCache>
                <c:ptCount val="16"/>
                <c:pt idx="0">
                  <c:v>Abono de Permanência</c:v>
                </c:pt>
                <c:pt idx="1">
                  <c:v>Domínios Gov.br</c:v>
                </c:pt>
                <c:pt idx="2">
                  <c:v>Gestão de Pessoas (Executivo Federal) - Abono Permanência</c:v>
                </c:pt>
                <c:pt idx="3">
                  <c:v>Gestão de Pessoas (Executivo Federal) - Afastamentos e Licenças</c:v>
                </c:pt>
                <c:pt idx="4">
                  <c:v>Gestão de Pessoas (Executivo Federal) - Anistiados</c:v>
                </c:pt>
                <c:pt idx="5">
                  <c:v>Gestão de Pessoas (Executivo Federal) – Aposentados</c:v>
                </c:pt>
                <c:pt idx="6">
                  <c:v>Gestão de Pessoas (Executivo Federal) - Auxílio-Alimentação</c:v>
                </c:pt>
                <c:pt idx="7">
                  <c:v>Gestão de Pessoas (Executivo Federal) - Auxílio-Reclusão</c:v>
                </c:pt>
                <c:pt idx="8">
                  <c:v>Gestão de Pessoas (Executivo Federal) - Cargos de Direção e Assessoramento Superiores (DAS)</c:v>
                </c:pt>
                <c:pt idx="9">
                  <c:v>Gestão de Pessoas (Executivo Federal) - Cargos Vagos e Vacâncias</c:v>
                </c:pt>
                <c:pt idx="10">
                  <c:v>Gestão de Pessoas (Executivo Federal) - Carreiras / Cargos</c:v>
                </c:pt>
                <c:pt idx="11">
                  <c:v>Gestão de Pessoas (Executivo Federal) - Dados da Estrutura Organizacional do Poder Executivo Federal (SIAPE)</c:v>
                </c:pt>
                <c:pt idx="12">
                  <c:v>Gestão de Pessoas (Executivo Federal) - Gratificações</c:v>
                </c:pt>
                <c:pt idx="13">
                  <c:v>Gestão de Pessoas (Executivo Federal) - Pensionistas</c:v>
                </c:pt>
                <c:pt idx="14">
                  <c:v>Gestão de Pessoas (Executivo Federal) – Remuneração Compensatória - “Quarentena”</c:v>
                </c:pt>
                <c:pt idx="15">
                  <c:v>(vazio)</c:v>
                </c:pt>
              </c:strCache>
            </c:strRef>
          </c:cat>
          <c:val>
            <c:numRef>
              <c:f>DINAMICA!$D$2:$D$18</c:f>
              <c:numCache>
                <c:formatCode>General</c:formatCode>
                <c:ptCount val="16"/>
                <c:pt idx="0">
                  <c:v>8</c:v>
                </c:pt>
                <c:pt idx="1">
                  <c:v>134</c:v>
                </c:pt>
                <c:pt idx="2">
                  <c:v>344</c:v>
                </c:pt>
                <c:pt idx="3">
                  <c:v>494</c:v>
                </c:pt>
                <c:pt idx="4">
                  <c:v>275</c:v>
                </c:pt>
                <c:pt idx="5">
                  <c:v>746</c:v>
                </c:pt>
                <c:pt idx="6">
                  <c:v>95</c:v>
                </c:pt>
                <c:pt idx="7">
                  <c:v>82</c:v>
                </c:pt>
                <c:pt idx="8">
                  <c:v>283</c:v>
                </c:pt>
                <c:pt idx="9">
                  <c:v>12361</c:v>
                </c:pt>
                <c:pt idx="10">
                  <c:v>381</c:v>
                </c:pt>
                <c:pt idx="11">
                  <c:v>13</c:v>
                </c:pt>
                <c:pt idx="12">
                  <c:v>442</c:v>
                </c:pt>
                <c:pt idx="13">
                  <c:v>483</c:v>
                </c:pt>
                <c:pt idx="14">
                  <c:v>91</c:v>
                </c:pt>
              </c:numCache>
            </c:numRef>
          </c:val>
          <c:extLst>
            <c:ext xmlns:c16="http://schemas.microsoft.com/office/drawing/2014/chart" uri="{C3380CC4-5D6E-409C-BE32-E72D297353CC}">
              <c16:uniqueId val="{00000002-C944-4768-BB58-841554A5A455}"/>
            </c:ext>
          </c:extLst>
        </c:ser>
        <c:ser>
          <c:idx val="3"/>
          <c:order val="3"/>
          <c:tx>
            <c:strRef>
              <c:f>DINAMICA!$E$1</c:f>
              <c:strCache>
                <c:ptCount val="1"/>
                <c:pt idx="0">
                  <c:v>Soma de Quantidade Seguidores</c:v>
                </c:pt>
              </c:strCache>
            </c:strRef>
          </c:tx>
          <c:spPr>
            <a:solidFill>
              <a:schemeClr val="accent4"/>
            </a:solidFill>
            <a:ln>
              <a:noFill/>
            </a:ln>
            <a:effectLst/>
          </c:spPr>
          <c:invertIfNegative val="0"/>
          <c:cat>
            <c:strRef>
              <c:f>DINAMICA!$A$2:$A$18</c:f>
              <c:strCache>
                <c:ptCount val="16"/>
                <c:pt idx="0">
                  <c:v>Abono de Permanência</c:v>
                </c:pt>
                <c:pt idx="1">
                  <c:v>Domínios Gov.br</c:v>
                </c:pt>
                <c:pt idx="2">
                  <c:v>Gestão de Pessoas (Executivo Federal) - Abono Permanência</c:v>
                </c:pt>
                <c:pt idx="3">
                  <c:v>Gestão de Pessoas (Executivo Federal) - Afastamentos e Licenças</c:v>
                </c:pt>
                <c:pt idx="4">
                  <c:v>Gestão de Pessoas (Executivo Federal) - Anistiados</c:v>
                </c:pt>
                <c:pt idx="5">
                  <c:v>Gestão de Pessoas (Executivo Federal) – Aposentados</c:v>
                </c:pt>
                <c:pt idx="6">
                  <c:v>Gestão de Pessoas (Executivo Federal) - Auxílio-Alimentação</c:v>
                </c:pt>
                <c:pt idx="7">
                  <c:v>Gestão de Pessoas (Executivo Federal) - Auxílio-Reclusão</c:v>
                </c:pt>
                <c:pt idx="8">
                  <c:v>Gestão de Pessoas (Executivo Federal) - Cargos de Direção e Assessoramento Superiores (DAS)</c:v>
                </c:pt>
                <c:pt idx="9">
                  <c:v>Gestão de Pessoas (Executivo Federal) - Cargos Vagos e Vacâncias</c:v>
                </c:pt>
                <c:pt idx="10">
                  <c:v>Gestão de Pessoas (Executivo Federal) - Carreiras / Cargos</c:v>
                </c:pt>
                <c:pt idx="11">
                  <c:v>Gestão de Pessoas (Executivo Federal) - Dados da Estrutura Organizacional do Poder Executivo Federal (SIAPE)</c:v>
                </c:pt>
                <c:pt idx="12">
                  <c:v>Gestão de Pessoas (Executivo Federal) - Gratificações</c:v>
                </c:pt>
                <c:pt idx="13">
                  <c:v>Gestão de Pessoas (Executivo Federal) - Pensionistas</c:v>
                </c:pt>
                <c:pt idx="14">
                  <c:v>Gestão de Pessoas (Executivo Federal) – Remuneração Compensatória - “Quarentena”</c:v>
                </c:pt>
                <c:pt idx="15">
                  <c:v>(vazio)</c:v>
                </c:pt>
              </c:strCache>
            </c:strRef>
          </c:cat>
          <c:val>
            <c:numRef>
              <c:f>DINAMICA!$E$2:$E$18</c:f>
              <c:numCache>
                <c:formatCode>General</c:formatCode>
                <c:ptCount val="16"/>
                <c:pt idx="0">
                  <c:v>0</c:v>
                </c:pt>
                <c:pt idx="1">
                  <c:v>1</c:v>
                </c:pt>
                <c:pt idx="2">
                  <c:v>2</c:v>
                </c:pt>
                <c:pt idx="3">
                  <c:v>2</c:v>
                </c:pt>
                <c:pt idx="4">
                  <c:v>1</c:v>
                </c:pt>
                <c:pt idx="5">
                  <c:v>3</c:v>
                </c:pt>
                <c:pt idx="6">
                  <c:v>0</c:v>
                </c:pt>
                <c:pt idx="7">
                  <c:v>0</c:v>
                </c:pt>
                <c:pt idx="8">
                  <c:v>3</c:v>
                </c:pt>
                <c:pt idx="9">
                  <c:v>88</c:v>
                </c:pt>
                <c:pt idx="10">
                  <c:v>3</c:v>
                </c:pt>
                <c:pt idx="11">
                  <c:v>0</c:v>
                </c:pt>
                <c:pt idx="12">
                  <c:v>1</c:v>
                </c:pt>
                <c:pt idx="13">
                  <c:v>3</c:v>
                </c:pt>
                <c:pt idx="14">
                  <c:v>1</c:v>
                </c:pt>
              </c:numCache>
            </c:numRef>
          </c:val>
          <c:extLst>
            <c:ext xmlns:c16="http://schemas.microsoft.com/office/drawing/2014/chart" uri="{C3380CC4-5D6E-409C-BE32-E72D297353CC}">
              <c16:uniqueId val="{00000003-C944-4768-BB58-841554A5A455}"/>
            </c:ext>
          </c:extLst>
        </c:ser>
        <c:dLbls>
          <c:showLegendKey val="0"/>
          <c:showVal val="0"/>
          <c:showCatName val="0"/>
          <c:showSerName val="0"/>
          <c:showPercent val="0"/>
          <c:showBubbleSize val="0"/>
        </c:dLbls>
        <c:gapWidth val="219"/>
        <c:overlap val="-27"/>
        <c:axId val="1545272624"/>
        <c:axId val="1424112704"/>
      </c:barChart>
      <c:catAx>
        <c:axId val="154527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4112704"/>
        <c:crosses val="autoZero"/>
        <c:auto val="1"/>
        <c:lblAlgn val="ctr"/>
        <c:lblOffset val="100"/>
        <c:noMultiLvlLbl val="0"/>
      </c:catAx>
      <c:valAx>
        <c:axId val="1424112704"/>
        <c:scaling>
          <c:orientation val="minMax"/>
          <c:max val="14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45272624"/>
        <c:crosses val="autoZero"/>
        <c:crossBetween val="between"/>
        <c:majorUnit val="2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9:$9" fmlaRange="'conjunto-dados'!$B$2:$B$16" noThreeD="1" sel="2"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85724</xdr:colOff>
      <xdr:row>0</xdr:row>
      <xdr:rowOff>66674</xdr:rowOff>
    </xdr:from>
    <xdr:to>
      <xdr:col>19</xdr:col>
      <xdr:colOff>152399</xdr:colOff>
      <xdr:row>24</xdr:row>
      <xdr:rowOff>38100</xdr:rowOff>
    </xdr:to>
    <xdr:graphicFrame macro="">
      <xdr:nvGraphicFramePr>
        <xdr:cNvPr id="2" name="Gráfico 1">
          <a:extLst>
            <a:ext uri="{FF2B5EF4-FFF2-40B4-BE49-F238E27FC236}">
              <a16:creationId xmlns:a16="http://schemas.microsoft.com/office/drawing/2014/main" id="{0FF1D211-7BCF-45A7-898D-41DDBDB4C8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542925</xdr:colOff>
          <xdr:row>1</xdr:row>
          <xdr:rowOff>152400</xdr:rowOff>
        </xdr:from>
        <xdr:to>
          <xdr:col>4</xdr:col>
          <xdr:colOff>1200150</xdr:colOff>
          <xdr:row>6</xdr:row>
          <xdr:rowOff>85725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ec" refreshedDate="45175.777414236109" createdVersion="6" refreshedVersion="6" minRefreshableVersion="3" recordCount="63" xr:uid="{00000000-000A-0000-FFFF-FFFF02000000}">
  <cacheSource type="worksheet">
    <worksheetSource ref="A1:F1048576" sheet="conjunto-dados"/>
  </cacheSource>
  <cacheFields count="6">
    <cacheField name="Nome" numFmtId="0">
      <sharedItems containsBlank="1" count="16">
        <s v="Abono de Permanência"/>
        <s v="Domínios Gov.br"/>
        <s v="Gestão de Pessoas (Executivo Federal) - Pensionistas"/>
        <s v="Gestão de Pessoas (Executivo Federal) - Abono Permanência"/>
        <s v="Gestão de Pessoas (Executivo Federal) - Afastamentos e Licenças"/>
        <s v="Gestão de Pessoas (Executivo Federal) – Aposentados"/>
        <s v="Gestão de Pessoas (Executivo Federal) - Cargos de Direção e Assessoramento Superiores (DAS)"/>
        <s v="Gestão de Pessoas (Executivo Federal) - Carreiras / Cargos"/>
        <s v="Gestão de Pessoas (Executivo Federal) – Remuneração Compensatória - “Quarentena”"/>
        <s v="Gestão de Pessoas (Executivo Federal) - Auxílio-Alimentação"/>
        <s v="Gestão de Pessoas (Executivo Federal) - Auxílio-Reclusão"/>
        <s v="Gestão de Pessoas (Executivo Federal) - Cargos Vagos e Vacâncias"/>
        <s v="Gestão de Pessoas (Executivo Federal) - Gratificações"/>
        <s v="Gestão de Pessoas (Executivo Federal) - Anistiados"/>
        <s v="Gestão de Pessoas (Executivo Federal) - Dados da Estrutura Organizacional do Poder Executivo Federal (SIAPE)"/>
        <m/>
      </sharedItems>
    </cacheField>
    <cacheField name="Descrição" numFmtId="0">
      <sharedItems containsBlank="1" longText="1"/>
    </cacheField>
    <cacheField name="Quantidade Recursos" numFmtId="0">
      <sharedItems containsString="0" containsBlank="1" containsNumber="1" containsInteger="1" minValue="1" maxValue="96"/>
    </cacheField>
    <cacheField name="Quantidade Reusos" numFmtId="0">
      <sharedItems containsString="0" containsBlank="1" containsNumber="1" containsInteger="1" minValue="0" maxValue="0"/>
    </cacheField>
    <cacheField name="Quantidade Downloads" numFmtId="0">
      <sharedItems containsString="0" containsBlank="1" containsNumber="1" containsInteger="1" minValue="8" maxValue="12361"/>
    </cacheField>
    <cacheField name="Quantidade Seguidores" numFmtId="0">
      <sharedItems containsString="0" containsBlank="1" containsNumber="1" containsInteger="1" minValue="0" maxValue="8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3">
  <r>
    <x v="0"/>
    <s v="O abono de permanência foi instituído pela Emenda Constitucional nº 41/03, e é um benefício pecuniário concedido ao servidor que tendo alcançado todos os requisitos para se aposentar voluntariamente, opte por permanecer em atividade até, no máximo, a idade para se aposentar compulsoriamente, sendo seu valor correspondente ao valor da contribuição previdenciária do servidor."/>
    <n v="1"/>
    <n v="0"/>
    <n v="8"/>
    <n v="0"/>
  </r>
  <r>
    <x v="1"/>
    <s v="Informações sobre os domínios da categoria &quot;gov.br&quot; registrados no Registro.br obtidas mensalmente pela Secretaria de Governo Digital (SGD) do Ministério da Economia."/>
    <n v="2"/>
    <n v="0"/>
    <n v="134"/>
    <n v="1"/>
  </r>
  <r>
    <x v="2"/>
    <s v="As informações disponibilizadas referem-se ao pagamento (rendimento bruto) recebido por pensionistas de servidores instituidores de pensão, constantes no Sistema Integrado de Administração de Pessoal (Siape).Cabe ressaltar que o Ministério da Economia é responsável pelas informações dos servidores instituidores de pensão e pensionistas do Poder Executivo Federal, não incluindo dados dos poderes Judiciário e Legislativo. Também não constam nos arquivos, dados relativos aos servidores do Banco Central do Brasil (1), Ministério da Defesa (2) (com exceção de militares de ex-territórios ou que assumiram cargos civis no Poder Executivo Federal) e Governo do Distrito Federal (3) (Fundo Constitucional), responsáveis pela publicação dos seus dados em portais próprios. Em relação à Agência Brasileira de Inteligência (Abin), os dados funcionais de pessoal são protegidos pela legislação vigente Lei nº 9883 (4) e Portaria Conjunta n° 5, de 05/08/2015/MPOG (5)."/>
    <n v="69"/>
    <n v="0"/>
    <n v="483"/>
    <n v="3"/>
  </r>
  <r>
    <x v="3"/>
    <s v="Contempla os dados cadastrais de servidores públicos federais que recebem abono permanência, como nome, CPF, cargo, órgão. O abono de permanência é um benefício pecuniário concedido ao servidor que opte por permanecer em atividade após ter cumprido todos os requisitos para aposentadoria voluntária, no valor equivalente à sua contribuição previdenciária, até completar as exigências para a aposentadoria compulsória."/>
    <n v="80"/>
    <n v="0"/>
    <n v="344"/>
    <n v="2"/>
  </r>
  <r>
    <x v="4"/>
    <s v="Contempla os dados cadastrais individualizados de servidores/empregados públicos do Poder Executivo Federal, como nome, CPF, cargo, órgão e ocorrência de afastamento/licença. Os servidores públicos civis da União, das autarquias e das fundações públicas federais dispõem de um rol de afastamentos, licenças e ausências previstos, em regra, na Lei nº 8.112 de 11 de dezembro de 1990, e relacionados a fatos geradores e requisitos próprios. Licenças e afastamentos dos empregados públicos são regidos por legislação própria."/>
    <n v="70"/>
    <n v="0"/>
    <n v="494"/>
    <n v="2"/>
  </r>
  <r>
    <x v="5"/>
    <s v="O conjunto contempla dados cadastrais de aposentados sob o regime jurídico único do Poder Executivo Federal Civil, como nome, portaria e tipo de aposentadoria. O aposentado do serviço público é o beneficiário de aposentadoria na forma do artigo 40 da Constituição Federal, do Quadro de Pessoal da Administração Pública Federal Direta - APF, suas autarquias e fundações públicas, seja pela via administrativa ou judicial, ou em decorrência de decisão do Tribunal de Contas da União. Os dados relativos aos aposentados da APF estão distribuídos em arquivos disponibilizados mensalmente e inclui as concessões do benefício de aposentadoria do mês anterior ao da publicação. A primeira divulgação no Portal Brasileiro de Dados Abertos nesse formato foi em 2018 e contempla as informações de novembro de 2016 em diante."/>
    <n v="96"/>
    <n v="0"/>
    <n v="746"/>
    <n v="3"/>
  </r>
  <r>
    <x v="6"/>
    <s v="O conjunto de dados contempla os ocupantes de Cargos de Direção e Assessoramento Superiores (DAS) do Poder Executivo Federal civil, militares dos Ex-Territórios Federais e militares do Governo do Distrito Federal. Os dados apresentados abrangem, dentre outros, informações cadastrais, como nome, órgão, remuneração. Cargo em Comissão: Cargo público de livre nomeação e exoneração, destinado às atribuições de direção, chefia e assessoramento, que pode ser ocupado tanto por pessoa sem vínculo com a Administração Pública Federal, quanto por servidor efetivo e/ou empregado público."/>
    <n v="81"/>
    <n v="0"/>
    <n v="283"/>
    <n v="3"/>
  </r>
  <r>
    <x v="7"/>
    <s v="O conjunto contempla dados das Carreiras/cargos/empregos públicos ocupados por servidores e empregados públicos ativos do Poder Executivo Federal civil, militares dos Ex-Territórios Federais e militares do Governo do Distrito Federal. Os dados apresentados abrange, dentre outros, nome, órgão, remuneração."/>
    <n v="81"/>
    <n v="0"/>
    <n v="381"/>
    <n v="3"/>
  </r>
  <r>
    <x v="8"/>
    <s v="O conjunto contempla dados cadastrais de Ex-dirigentes do Poder Executivo Federal, como nome, Órgão de atuação e remuneração. A remuneração compensatória é a parcela devida em virtude de uma restrição imposta por lei ao ocupante de determinados cargos da Administração Pública Federal, visando resguardar a administração de potenciais danos em casos de existência de conflitos de interesses, devidamente reconhecido pela Comissão de Ética Pública – CEP, ocasionando o impedimento ao referido ocupante de exercer determinadas atividades no período determinado “quarentena”, tal retribuição tem como objetivo não apenas proteger o ex-ocupante do referido cargo, já que se encontra impedido de trabalhar, mas também a própria Administração."/>
    <n v="79"/>
    <n v="0"/>
    <n v="91"/>
    <n v="1"/>
  </r>
  <r>
    <x v="9"/>
    <s v="Contempla dados cadastrais e financeiros dos servidores públicos ativos do Poder Executivo Federal Civil que recebem Auxílio Alimentação. Arquivo em formato CSV."/>
    <n v="10"/>
    <n v="0"/>
    <n v="95"/>
    <n v="0"/>
  </r>
  <r>
    <x v="10"/>
    <s v="Contempla dados cadastrais e financeiros referentes ao pagamento do Auxílio Reclusão aos servidores públicos ativos do Poder Executivo Federal Civil. Cada linha corresponde a um servidor que recebe Auxílio Reclusão. Arquivo em formato CSV. O conjunto de dados não contempla os servidores do Banco Central do Brasil. O Auxílio Reclusão é um benefício concedido à família do servidor ativo em função de seu afastamento por motivo de prisão em flagrante ou preventiva, determinada pela autoridade competente, ou em virtude de condenação, por sentença definitiva, a pena que não imponha a perda do cargo público."/>
    <n v="11"/>
    <n v="0"/>
    <n v="82"/>
    <n v="0"/>
  </r>
  <r>
    <x v="11"/>
    <s v="O conjunto contempla os cargos públicos no Poder Executivo Federal Civil e fornece a quantidade aprovada, distribuída, ocupada e vaga. A informação inclui Administração Direta, Autarquias e Fundações, excluindo-se dados sobre cargos do Banco Central do Brasil e das Carreiras de Inteligência da ABIN. A partir de 08/2021 esse conjunto de dados passará a apresentar informações acerca das vacâncias previstas no art. 33 da Lei 8.112/90 e também identificará se o cargo encontra-se em extinção. Arquivo em formato ODS a partir de 08/2021. Cargo público vago é aquele que não está provido, ou seja, está sem titular. O termo vacância é utilizado para descrever os motivos pelo qual um cargo se torna vago."/>
    <n v="93"/>
    <n v="0"/>
    <n v="12361"/>
    <n v="88"/>
  </r>
  <r>
    <x v="12"/>
    <s v="Contempla os dados cadastrais dos servidores públicos efetivos ativos do Poder Executivo Federal Civil que recebem Gratificação Temporária de Atividade em Escola de Governo – GAEG, Gratificação de Incremento à Atividade de Administração do Patrimônio da União – GIAPU, Gratificação Temporária do Sistema de Administração dos Recursos de Tecnologia da Informação – GSISP ou Gratificação Temporária das Unidades dos Sistemas Estruturadores da Administração Pública Federal - GSISTE. Arquivo em formato CSV. O presente conjunto de dados substitui, a partir de 08/2021, o conjunto de dados Gestão de Pessoas (Executivo Federal) - Gratificação Temporária das Unidades dos Sistemas Estruturadores da Administração Pública Federal (GSISTE). Para obter informações acerca das gratificações GSISTE e GIAPU em períodos anteriores a 08/2021, acesse https://dados.gov.br/dataset/gastos-pessoal-gsiste."/>
    <n v="25"/>
    <n v="0"/>
    <n v="442"/>
    <n v="1"/>
  </r>
  <r>
    <x v="13"/>
    <s v="Conjunto de dados referente aos anistiados políticos, conforme a Lei nº10.559 de 13 de Novembro de 2002."/>
    <n v="2"/>
    <n v="0"/>
    <n v="275"/>
    <n v="1"/>
  </r>
  <r>
    <x v="14"/>
    <s v="O conjunto de dados contempla a árvore hierárquica de todas as Unidades Organizacionais da Administração Pública Federal. Arquivo em formato CSV."/>
    <n v="2"/>
    <n v="0"/>
    <n v="13"/>
    <n v="0"/>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r>
    <x v="1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A1:E18" firstHeaderRow="0" firstDataRow="1" firstDataCol="1"/>
  <pivotFields count="6">
    <pivotField axis="axisRow" showAll="0">
      <items count="17">
        <item x="0"/>
        <item x="1"/>
        <item x="3"/>
        <item x="4"/>
        <item x="13"/>
        <item x="5"/>
        <item x="9"/>
        <item x="10"/>
        <item x="6"/>
        <item x="11"/>
        <item x="7"/>
        <item x="14"/>
        <item x="12"/>
        <item x="2"/>
        <item x="8"/>
        <item x="15"/>
        <item t="default"/>
      </items>
    </pivotField>
    <pivotField showAll="0"/>
    <pivotField dataField="1" showAll="0"/>
    <pivotField dataField="1" showAll="0"/>
    <pivotField dataField="1" showAll="0"/>
    <pivotField dataField="1" showAll="0"/>
  </pivotFields>
  <rowFields count="1">
    <field x="0"/>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Soma de Quantidade Recursos" fld="2" baseField="0" baseItem="0"/>
    <dataField name="Soma de Quantidade Reusos" fld="3" baseField="0" baseItem="0"/>
    <dataField name="Soma de Quantidade Downloads" fld="4" baseField="0" baseItem="0"/>
    <dataField name="Soma de Quantidade Seguidores" fld="5"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C42245-CDFD-46AC-9A8E-75C7EF687212}" name="Tabela1" displayName="Tabela1" ref="A11:F12" totalsRowShown="0" headerRowDxfId="0" headerRowBorderDxfId="8" tableBorderDxfId="9" totalsRowBorderDxfId="7">
  <autoFilter ref="A11:F12" xr:uid="{12A17A0B-96B1-43DB-9E1C-861536FE95A5}"/>
  <tableColumns count="6">
    <tableColumn id="1" xr3:uid="{47B4834D-F0CA-42EF-AE35-E2F4B06424AA}" name="Nome" dataDxfId="6">
      <calculatedColumnFormula>INDEX('conjunto-dados'!A2:F16,A9,1)</calculatedColumnFormula>
    </tableColumn>
    <tableColumn id="2" xr3:uid="{73911EBE-85F2-4FCB-950B-F00304026890}" name="Descrição" dataDxfId="5">
      <calculatedColumnFormula>INDEX('conjunto-dados'!A2:F16,A9,2)</calculatedColumnFormula>
    </tableColumn>
    <tableColumn id="3" xr3:uid="{CC373EE5-3A12-4463-B1BB-D543CD401BDF}" name="Quantidade Recursos" dataDxfId="4">
      <calculatedColumnFormula>INDEX('conjunto-dados'!A2:F16,A9,3)</calculatedColumnFormula>
    </tableColumn>
    <tableColumn id="4" xr3:uid="{74EFD457-B7BD-4944-9EAB-5012413AE4BB}" name="Quantidade Reusos" dataDxfId="3">
      <calculatedColumnFormula>INDEX('conjunto-dados'!A2:F16,A9,4)</calculatedColumnFormula>
    </tableColumn>
    <tableColumn id="5" xr3:uid="{DF4BCA16-1EF1-492D-A084-11EC57824FBF}" name="Quantidade Downloads" dataDxfId="2">
      <calculatedColumnFormula>INDEX('conjunto-dados'!A2:F16,A9,5)</calculatedColumnFormula>
    </tableColumn>
    <tableColumn id="6" xr3:uid="{D0264A97-C8C2-4089-8F14-96325A4EE882}" name="Quantidade Seguidores" dataDxfId="1">
      <calculatedColumnFormula>INDEX('conjunto-dados'!A2:F16,A9,6)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18"/>
  <sheetViews>
    <sheetView topLeftCell="B1" workbookViewId="0">
      <selection activeCell="C23" sqref="C23"/>
    </sheetView>
  </sheetViews>
  <sheetFormatPr defaultRowHeight="15" x14ac:dyDescent="0.25"/>
  <cols>
    <col min="1" max="1" width="26.85546875" customWidth="1"/>
    <col min="2" max="2" width="8.42578125" customWidth="1"/>
    <col min="3" max="3" width="8.7109375" customWidth="1"/>
    <col min="4" max="4" width="12.28515625" customWidth="1"/>
    <col min="5" max="5" width="30.42578125" bestFit="1" customWidth="1"/>
  </cols>
  <sheetData>
    <row r="1" spans="1:5" x14ac:dyDescent="0.25">
      <c r="A1" s="1" t="s">
        <v>36</v>
      </c>
      <c r="B1" t="s">
        <v>39</v>
      </c>
      <c r="C1" t="s">
        <v>40</v>
      </c>
      <c r="D1" t="s">
        <v>41</v>
      </c>
      <c r="E1" t="s">
        <v>42</v>
      </c>
    </row>
    <row r="2" spans="1:5" x14ac:dyDescent="0.25">
      <c r="A2" s="2" t="s">
        <v>6</v>
      </c>
      <c r="B2" s="3">
        <v>1</v>
      </c>
      <c r="C2" s="3">
        <v>0</v>
      </c>
      <c r="D2" s="3">
        <v>8</v>
      </c>
      <c r="E2" s="3">
        <v>0</v>
      </c>
    </row>
    <row r="3" spans="1:5" x14ac:dyDescent="0.25">
      <c r="A3" s="2" t="s">
        <v>8</v>
      </c>
      <c r="B3" s="3">
        <v>2</v>
      </c>
      <c r="C3" s="3">
        <v>0</v>
      </c>
      <c r="D3" s="3">
        <v>134</v>
      </c>
      <c r="E3" s="3">
        <v>1</v>
      </c>
    </row>
    <row r="4" spans="1:5" x14ac:dyDescent="0.25">
      <c r="A4" s="2" t="s">
        <v>12</v>
      </c>
      <c r="B4" s="3">
        <v>80</v>
      </c>
      <c r="C4" s="3">
        <v>0</v>
      </c>
      <c r="D4" s="3">
        <v>344</v>
      </c>
      <c r="E4" s="3">
        <v>2</v>
      </c>
    </row>
    <row r="5" spans="1:5" x14ac:dyDescent="0.25">
      <c r="A5" s="2" t="s">
        <v>14</v>
      </c>
      <c r="B5" s="3">
        <v>70</v>
      </c>
      <c r="C5" s="3">
        <v>0</v>
      </c>
      <c r="D5" s="3">
        <v>494</v>
      </c>
      <c r="E5" s="3">
        <v>2</v>
      </c>
    </row>
    <row r="6" spans="1:5" x14ac:dyDescent="0.25">
      <c r="A6" s="2" t="s">
        <v>32</v>
      </c>
      <c r="B6" s="3">
        <v>2</v>
      </c>
      <c r="C6" s="3">
        <v>0</v>
      </c>
      <c r="D6" s="3">
        <v>275</v>
      </c>
      <c r="E6" s="3">
        <v>1</v>
      </c>
    </row>
    <row r="7" spans="1:5" x14ac:dyDescent="0.25">
      <c r="A7" s="2" t="s">
        <v>16</v>
      </c>
      <c r="B7" s="3">
        <v>96</v>
      </c>
      <c r="C7" s="3">
        <v>0</v>
      </c>
      <c r="D7" s="3">
        <v>746</v>
      </c>
      <c r="E7" s="3">
        <v>3</v>
      </c>
    </row>
    <row r="8" spans="1:5" x14ac:dyDescent="0.25">
      <c r="A8" s="2" t="s">
        <v>24</v>
      </c>
      <c r="B8" s="3">
        <v>10</v>
      </c>
      <c r="C8" s="3">
        <v>0</v>
      </c>
      <c r="D8" s="3">
        <v>95</v>
      </c>
      <c r="E8" s="3">
        <v>0</v>
      </c>
    </row>
    <row r="9" spans="1:5" x14ac:dyDescent="0.25">
      <c r="A9" s="2" t="s">
        <v>26</v>
      </c>
      <c r="B9" s="3">
        <v>11</v>
      </c>
      <c r="C9" s="3">
        <v>0</v>
      </c>
      <c r="D9" s="3">
        <v>82</v>
      </c>
      <c r="E9" s="3">
        <v>0</v>
      </c>
    </row>
    <row r="10" spans="1:5" x14ac:dyDescent="0.25">
      <c r="A10" s="2" t="s">
        <v>18</v>
      </c>
      <c r="B10" s="3">
        <v>81</v>
      </c>
      <c r="C10" s="3">
        <v>0</v>
      </c>
      <c r="D10" s="3">
        <v>283</v>
      </c>
      <c r="E10" s="3">
        <v>3</v>
      </c>
    </row>
    <row r="11" spans="1:5" x14ac:dyDescent="0.25">
      <c r="A11" s="2" t="s">
        <v>28</v>
      </c>
      <c r="B11" s="3">
        <v>93</v>
      </c>
      <c r="C11" s="3">
        <v>0</v>
      </c>
      <c r="D11" s="3">
        <v>12361</v>
      </c>
      <c r="E11" s="3">
        <v>88</v>
      </c>
    </row>
    <row r="12" spans="1:5" x14ac:dyDescent="0.25">
      <c r="A12" s="2" t="s">
        <v>20</v>
      </c>
      <c r="B12" s="3">
        <v>81</v>
      </c>
      <c r="C12" s="3">
        <v>0</v>
      </c>
      <c r="D12" s="3">
        <v>381</v>
      </c>
      <c r="E12" s="3">
        <v>3</v>
      </c>
    </row>
    <row r="13" spans="1:5" x14ac:dyDescent="0.25">
      <c r="A13" s="2" t="s">
        <v>34</v>
      </c>
      <c r="B13" s="3">
        <v>2</v>
      </c>
      <c r="C13" s="3">
        <v>0</v>
      </c>
      <c r="D13" s="3">
        <v>13</v>
      </c>
      <c r="E13" s="3">
        <v>0</v>
      </c>
    </row>
    <row r="14" spans="1:5" x14ac:dyDescent="0.25">
      <c r="A14" s="2" t="s">
        <v>30</v>
      </c>
      <c r="B14" s="3">
        <v>25</v>
      </c>
      <c r="C14" s="3">
        <v>0</v>
      </c>
      <c r="D14" s="3">
        <v>442</v>
      </c>
      <c r="E14" s="3">
        <v>1</v>
      </c>
    </row>
    <row r="15" spans="1:5" x14ac:dyDescent="0.25">
      <c r="A15" s="2" t="s">
        <v>10</v>
      </c>
      <c r="B15" s="3">
        <v>69</v>
      </c>
      <c r="C15" s="3">
        <v>0</v>
      </c>
      <c r="D15" s="3">
        <v>483</v>
      </c>
      <c r="E15" s="3">
        <v>3</v>
      </c>
    </row>
    <row r="16" spans="1:5" x14ac:dyDescent="0.25">
      <c r="A16" s="2" t="s">
        <v>22</v>
      </c>
      <c r="B16" s="3">
        <v>79</v>
      </c>
      <c r="C16" s="3">
        <v>0</v>
      </c>
      <c r="D16" s="3">
        <v>91</v>
      </c>
      <c r="E16" s="3">
        <v>1</v>
      </c>
    </row>
    <row r="17" spans="1:5" x14ac:dyDescent="0.25">
      <c r="A17" s="2" t="s">
        <v>37</v>
      </c>
      <c r="B17" s="3"/>
      <c r="C17" s="3"/>
      <c r="D17" s="3"/>
      <c r="E17" s="3"/>
    </row>
    <row r="18" spans="1:5" x14ac:dyDescent="0.25">
      <c r="A18" s="2" t="s">
        <v>38</v>
      </c>
      <c r="B18" s="3">
        <v>702</v>
      </c>
      <c r="C18" s="3">
        <v>0</v>
      </c>
      <c r="D18" s="3">
        <v>16232</v>
      </c>
      <c r="E18" s="3">
        <v>108</v>
      </c>
    </row>
  </sheetData>
  <pageMargins left="0.511811024" right="0.511811024" top="0.78740157499999996" bottom="0.78740157499999996" header="0.31496062000000002" footer="0.31496062000000002"/>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9:F12"/>
  <sheetViews>
    <sheetView workbookViewId="0">
      <selection activeCell="D15" sqref="D15"/>
    </sheetView>
  </sheetViews>
  <sheetFormatPr defaultRowHeight="15" x14ac:dyDescent="0.25"/>
  <cols>
    <col min="1" max="1" width="36.5703125" customWidth="1"/>
    <col min="2" max="2" width="18.42578125" bestFit="1" customWidth="1"/>
    <col min="3" max="4" width="22.140625" bestFit="1" customWidth="1"/>
    <col min="5" max="5" width="27.42578125" customWidth="1"/>
    <col min="6" max="6" width="24.28515625" customWidth="1"/>
  </cols>
  <sheetData>
    <row r="9" spans="1:6" x14ac:dyDescent="0.25">
      <c r="A9">
        <v>2</v>
      </c>
    </row>
    <row r="11" spans="1:6" x14ac:dyDescent="0.25">
      <c r="A11" s="4" t="s">
        <v>0</v>
      </c>
      <c r="B11" s="5" t="s">
        <v>1</v>
      </c>
      <c r="C11" s="5" t="s">
        <v>2</v>
      </c>
      <c r="D11" s="5" t="s">
        <v>3</v>
      </c>
      <c r="E11" s="5" t="s">
        <v>4</v>
      </c>
      <c r="F11" s="6" t="s">
        <v>5</v>
      </c>
    </row>
    <row r="12" spans="1:6" x14ac:dyDescent="0.25">
      <c r="A12" s="7" t="str">
        <f>INDEX('conjunto-dados'!A2:F16,A9,1)</f>
        <v>Domínios Gov.br</v>
      </c>
      <c r="B12" s="8" t="str">
        <f>INDEX('conjunto-dados'!A2:F16,A9,2)</f>
        <v>Informações sobre os domínios da categoria "gov.br" registrados no Registro.br obtidas mensalmente pela Secretaria de Governo Digital (SGD) do Ministério da Economia.</v>
      </c>
      <c r="C12" s="8">
        <f>INDEX('conjunto-dados'!A2:F16,A9,3)</f>
        <v>2</v>
      </c>
      <c r="D12" s="8">
        <f>INDEX('conjunto-dados'!A2:F16,A9,4)</f>
        <v>0</v>
      </c>
      <c r="E12" s="8">
        <f>INDEX('conjunto-dados'!A2:F16,A9,5)</f>
        <v>134</v>
      </c>
      <c r="F12" s="9">
        <f>INDEX('conjunto-dados'!A2:F16,A9,6)</f>
        <v>1</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anchor moveWithCells="1">
                  <from>
                    <xdr:col>1</xdr:col>
                    <xdr:colOff>542925</xdr:colOff>
                    <xdr:row>1</xdr:row>
                    <xdr:rowOff>152400</xdr:rowOff>
                  </from>
                  <to>
                    <xdr:col>4</xdr:col>
                    <xdr:colOff>1200150</xdr:colOff>
                    <xdr:row>6</xdr:row>
                    <xdr:rowOff>85725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6"/>
  <sheetViews>
    <sheetView tabSelected="1" zoomScale="90" zoomScaleNormal="90" workbookViewId="0">
      <selection activeCell="B1" sqref="A1:XFD1"/>
    </sheetView>
  </sheetViews>
  <sheetFormatPr defaultRowHeight="15" x14ac:dyDescent="0.25"/>
  <cols>
    <col min="1" max="1" width="26" customWidth="1"/>
    <col min="2" max="2" width="119.5703125" customWidth="1"/>
    <col min="3" max="3" width="20" bestFit="1" customWidth="1"/>
    <col min="4" max="4" width="18.42578125" bestFit="1" customWidth="1"/>
    <col min="5" max="6" width="22.140625" bestFit="1" customWidth="1"/>
  </cols>
  <sheetData>
    <row r="1" spans="1:6" x14ac:dyDescent="0.25">
      <c r="A1" t="s">
        <v>0</v>
      </c>
      <c r="B1" t="s">
        <v>1</v>
      </c>
      <c r="C1" t="s">
        <v>2</v>
      </c>
      <c r="D1" t="s">
        <v>3</v>
      </c>
      <c r="E1" t="s">
        <v>4</v>
      </c>
      <c r="F1" t="s">
        <v>5</v>
      </c>
    </row>
    <row r="2" spans="1:6" x14ac:dyDescent="0.25">
      <c r="A2" t="s">
        <v>6</v>
      </c>
      <c r="B2" t="s">
        <v>7</v>
      </c>
      <c r="C2">
        <v>1</v>
      </c>
      <c r="D2">
        <v>0</v>
      </c>
      <c r="E2">
        <v>8</v>
      </c>
      <c r="F2">
        <v>0</v>
      </c>
    </row>
    <row r="3" spans="1:6" x14ac:dyDescent="0.25">
      <c r="A3" t="s">
        <v>8</v>
      </c>
      <c r="B3" t="s">
        <v>9</v>
      </c>
      <c r="C3">
        <v>2</v>
      </c>
      <c r="D3">
        <v>0</v>
      </c>
      <c r="E3">
        <v>134</v>
      </c>
      <c r="F3">
        <v>1</v>
      </c>
    </row>
    <row r="4" spans="1:6" x14ac:dyDescent="0.25">
      <c r="A4" t="s">
        <v>10</v>
      </c>
      <c r="B4" t="s">
        <v>11</v>
      </c>
      <c r="C4">
        <v>69</v>
      </c>
      <c r="D4">
        <v>0</v>
      </c>
      <c r="E4">
        <v>483</v>
      </c>
      <c r="F4">
        <v>3</v>
      </c>
    </row>
    <row r="5" spans="1:6" x14ac:dyDescent="0.25">
      <c r="A5" t="s">
        <v>12</v>
      </c>
      <c r="B5" t="s">
        <v>13</v>
      </c>
      <c r="C5">
        <v>80</v>
      </c>
      <c r="D5">
        <v>0</v>
      </c>
      <c r="E5">
        <v>344</v>
      </c>
      <c r="F5">
        <v>2</v>
      </c>
    </row>
    <row r="6" spans="1:6" x14ac:dyDescent="0.25">
      <c r="A6" t="s">
        <v>14</v>
      </c>
      <c r="B6" t="s">
        <v>15</v>
      </c>
      <c r="C6">
        <v>70</v>
      </c>
      <c r="D6">
        <v>0</v>
      </c>
      <c r="E6">
        <v>494</v>
      </c>
      <c r="F6">
        <v>2</v>
      </c>
    </row>
    <row r="7" spans="1:6" x14ac:dyDescent="0.25">
      <c r="A7" t="s">
        <v>16</v>
      </c>
      <c r="B7" t="s">
        <v>17</v>
      </c>
      <c r="C7">
        <v>96</v>
      </c>
      <c r="D7">
        <v>0</v>
      </c>
      <c r="E7">
        <v>746</v>
      </c>
      <c r="F7">
        <v>3</v>
      </c>
    </row>
    <row r="8" spans="1:6" x14ac:dyDescent="0.25">
      <c r="A8" t="s">
        <v>18</v>
      </c>
      <c r="B8" t="s">
        <v>19</v>
      </c>
      <c r="C8">
        <v>81</v>
      </c>
      <c r="D8">
        <v>0</v>
      </c>
      <c r="E8">
        <v>283</v>
      </c>
      <c r="F8">
        <v>3</v>
      </c>
    </row>
    <row r="9" spans="1:6" x14ac:dyDescent="0.25">
      <c r="A9" t="s">
        <v>20</v>
      </c>
      <c r="B9" t="s">
        <v>21</v>
      </c>
      <c r="C9">
        <v>81</v>
      </c>
      <c r="D9">
        <v>0</v>
      </c>
      <c r="E9">
        <v>381</v>
      </c>
      <c r="F9">
        <v>3</v>
      </c>
    </row>
    <row r="10" spans="1:6" x14ac:dyDescent="0.25">
      <c r="A10" t="s">
        <v>22</v>
      </c>
      <c r="B10" t="s">
        <v>23</v>
      </c>
      <c r="C10">
        <v>79</v>
      </c>
      <c r="D10">
        <v>0</v>
      </c>
      <c r="E10">
        <v>91</v>
      </c>
      <c r="F10">
        <v>1</v>
      </c>
    </row>
    <row r="11" spans="1:6" x14ac:dyDescent="0.25">
      <c r="A11" t="s">
        <v>24</v>
      </c>
      <c r="B11" t="s">
        <v>25</v>
      </c>
      <c r="C11">
        <v>10</v>
      </c>
      <c r="D11">
        <v>0</v>
      </c>
      <c r="E11">
        <v>95</v>
      </c>
      <c r="F11">
        <v>0</v>
      </c>
    </row>
    <row r="12" spans="1:6" x14ac:dyDescent="0.25">
      <c r="A12" t="s">
        <v>26</v>
      </c>
      <c r="B12" t="s">
        <v>27</v>
      </c>
      <c r="C12">
        <v>11</v>
      </c>
      <c r="D12">
        <v>0</v>
      </c>
      <c r="E12">
        <v>82</v>
      </c>
      <c r="F12">
        <v>0</v>
      </c>
    </row>
    <row r="13" spans="1:6" x14ac:dyDescent="0.25">
      <c r="A13" t="s">
        <v>28</v>
      </c>
      <c r="B13" t="s">
        <v>29</v>
      </c>
      <c r="C13">
        <v>93</v>
      </c>
      <c r="D13">
        <v>0</v>
      </c>
      <c r="E13">
        <v>12361</v>
      </c>
      <c r="F13">
        <v>88</v>
      </c>
    </row>
    <row r="14" spans="1:6" x14ac:dyDescent="0.25">
      <c r="A14" t="s">
        <v>30</v>
      </c>
      <c r="B14" t="s">
        <v>31</v>
      </c>
      <c r="C14">
        <v>25</v>
      </c>
      <c r="D14">
        <v>0</v>
      </c>
      <c r="E14">
        <v>442</v>
      </c>
      <c r="F14">
        <v>1</v>
      </c>
    </row>
    <row r="15" spans="1:6" x14ac:dyDescent="0.25">
      <c r="A15" t="s">
        <v>32</v>
      </c>
      <c r="B15" t="s">
        <v>33</v>
      </c>
      <c r="C15">
        <v>2</v>
      </c>
      <c r="D15">
        <v>0</v>
      </c>
      <c r="E15">
        <v>275</v>
      </c>
      <c r="F15">
        <v>1</v>
      </c>
    </row>
    <row r="16" spans="1:6" x14ac:dyDescent="0.25">
      <c r="A16" t="s">
        <v>34</v>
      </c>
      <c r="B16" t="s">
        <v>35</v>
      </c>
      <c r="C16">
        <v>2</v>
      </c>
      <c r="D16">
        <v>0</v>
      </c>
      <c r="E16">
        <v>13</v>
      </c>
      <c r="F16">
        <v>0</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DINAMICA</vt:lpstr>
      <vt:lpstr>FORMULARIO</vt:lpstr>
      <vt:lpstr>conjunto-dados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Fatec</dc:creator>
  <cp:lastModifiedBy>Noite</cp:lastModifiedBy>
  <dcterms:created xsi:type="dcterms:W3CDTF">2023-09-06T21:48:41Z</dcterms:created>
  <dcterms:modified xsi:type="dcterms:W3CDTF">2023-09-07T01:15:54Z</dcterms:modified>
</cp:coreProperties>
</file>